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620966bf2a5af6/바탕 화면/wonwoo/DQN_Research/"/>
    </mc:Choice>
  </mc:AlternateContent>
  <xr:revisionPtr revIDLastSave="128" documentId="8_{72518E02-C8D9-4A34-A3AE-81E5F567CC2E}" xr6:coauthVersionLast="47" xr6:coauthVersionMax="47" xr10:uidLastSave="{99A82BEB-30E1-4174-B557-C855725A3E1B}"/>
  <bookViews>
    <workbookView xWindow="3120" yWindow="1320" windowWidth="18690" windowHeight="14880" xr2:uid="{AB35DB11-44FC-49F3-AAA6-87B43E3FCE9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8" i="1"/>
  <c r="D3" i="1"/>
  <c r="D4" i="1"/>
  <c r="E4" i="1" s="1"/>
  <c r="D5" i="1"/>
  <c r="E5" i="1" s="1"/>
  <c r="D6" i="1"/>
  <c r="E6" i="1" s="1"/>
  <c r="D7" i="1"/>
  <c r="E7" i="1" s="1"/>
  <c r="D8" i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E2" i="1"/>
  <c r="D2" i="1"/>
</calcChain>
</file>

<file path=xl/sharedStrings.xml><?xml version="1.0" encoding="utf-8"?>
<sst xmlns="http://schemas.openxmlformats.org/spreadsheetml/2006/main" count="38" uniqueCount="32">
  <si>
    <t>aircraft_type</t>
  </si>
  <si>
    <t>climb_kts</t>
  </si>
  <si>
    <t>cruise_kts</t>
  </si>
  <si>
    <t>descent_kts</t>
  </si>
  <si>
    <t>cruise_mach</t>
  </si>
  <si>
    <t>MMO</t>
  </si>
  <si>
    <t>A20N</t>
    <phoneticPr fontId="1" type="noConversion"/>
  </si>
  <si>
    <t>Cf1</t>
  </si>
  <si>
    <t>Cf2</t>
  </si>
  <si>
    <t>Cf3</t>
  </si>
  <si>
    <t>Cf4</t>
  </si>
  <si>
    <t>Cfcr</t>
  </si>
  <si>
    <t>A21N</t>
    <phoneticPr fontId="1" type="noConversion"/>
  </si>
  <si>
    <t>A332</t>
    <phoneticPr fontId="1" type="noConversion"/>
  </si>
  <si>
    <t>A333</t>
    <phoneticPr fontId="1" type="noConversion"/>
  </si>
  <si>
    <t>A359</t>
    <phoneticPr fontId="1" type="noConversion"/>
  </si>
  <si>
    <t>B38M</t>
    <phoneticPr fontId="1" type="noConversion"/>
  </si>
  <si>
    <t>B738</t>
    <phoneticPr fontId="1" type="noConversion"/>
  </si>
  <si>
    <t>B763</t>
    <phoneticPr fontId="1" type="noConversion"/>
  </si>
  <si>
    <t>B773</t>
    <phoneticPr fontId="1" type="noConversion"/>
  </si>
  <si>
    <t>B77W</t>
    <phoneticPr fontId="1" type="noConversion"/>
  </si>
  <si>
    <t>B788</t>
    <phoneticPr fontId="1" type="noConversion"/>
  </si>
  <si>
    <t>B789</t>
    <phoneticPr fontId="1" type="noConversion"/>
  </si>
  <si>
    <t>E190</t>
    <phoneticPr fontId="1" type="noConversion"/>
  </si>
  <si>
    <t>FL50 CAS</t>
    <phoneticPr fontId="1" type="noConversion"/>
  </si>
  <si>
    <t>FL40 CAS</t>
    <phoneticPr fontId="1" type="noConversion"/>
  </si>
  <si>
    <t>FL35 CAS</t>
    <phoneticPr fontId="1" type="noConversion"/>
  </si>
  <si>
    <t>FL30 CAS</t>
    <phoneticPr fontId="1" type="noConversion"/>
  </si>
  <si>
    <t>FL12 CAS</t>
    <phoneticPr fontId="1" type="noConversion"/>
  </si>
  <si>
    <t>mass (t)</t>
    <phoneticPr fontId="1" type="noConversion"/>
  </si>
  <si>
    <t>cas는 KT</t>
    <phoneticPr fontId="1" type="noConversion"/>
  </si>
  <si>
    <t>라그랑주 보간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</si>
</sst>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2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89075-7FB5-4163-8FE2-89C591EFEF9D}">
  <dimension ref="A1:Q16"/>
  <sheetViews>
    <sheetView tabSelected="1" topLeftCell="A4" zoomScale="85" zoomScaleNormal="85" workbookViewId="0">
      <selection activeCell="A13" sqref="A13"/>
    </sheetView>
  </sheetViews>
  <sheetFormatPr defaultRowHeight="16.5"/>
  <cols>
    <col min="1" max="1" width="11.875" bestFit="1" customWidth="1"/>
    <col min="2" max="2" width="9.25" bestFit="1" customWidth="1"/>
    <col min="3" max="3" width="9.5" bestFit="1" customWidth="1"/>
    <col min="4" max="4" width="11.25" bestFit="1" customWidth="1"/>
    <col min="5" max="5" width="11.875" bestFit="1" customWidth="1"/>
    <col min="6" max="6" width="11.25" bestFit="1" customWidth="1"/>
    <col min="7" max="7" width="8.5" bestFit="1" customWidth="1"/>
    <col min="8" max="9" width="9.25" bestFit="1" customWidth="1"/>
    <col min="10" max="10" width="10" bestFit="1" customWidth="1"/>
    <col min="11" max="11" width="9.625" customWidth="1"/>
    <col min="16" max="16" width="13.75" bestFit="1" customWidth="1"/>
  </cols>
  <sheetData>
    <row r="1" spans="1:17">
      <c r="A1" t="s">
        <v>0</v>
      </c>
      <c r="B1" t="s">
        <v>1</v>
      </c>
      <c r="C1" t="s">
        <v>5</v>
      </c>
      <c r="D1" t="s">
        <v>4</v>
      </c>
      <c r="E1" t="s">
        <v>2</v>
      </c>
      <c r="F1" t="s">
        <v>3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</row>
    <row r="2" spans="1:17">
      <c r="A2" s="4" t="s">
        <v>6</v>
      </c>
      <c r="B2">
        <v>250</v>
      </c>
      <c r="C2">
        <v>0.82</v>
      </c>
      <c r="D2">
        <f>C2-0.04</f>
        <v>0.77999999999999992</v>
      </c>
      <c r="E2">
        <f>D2*574</f>
        <v>447.71999999999997</v>
      </c>
      <c r="F2">
        <v>300</v>
      </c>
      <c r="G2">
        <v>0.51876999999999995</v>
      </c>
      <c r="H2" s="1">
        <v>1041.5</v>
      </c>
      <c r="I2" s="1">
        <v>9.8163</v>
      </c>
      <c r="J2" s="1">
        <v>101050</v>
      </c>
      <c r="K2" s="1">
        <v>0.95276000000000005</v>
      </c>
      <c r="L2" s="1">
        <v>235</v>
      </c>
      <c r="M2" s="1">
        <v>220</v>
      </c>
      <c r="N2" s="1">
        <v>220</v>
      </c>
      <c r="O2">
        <v>220</v>
      </c>
      <c r="P2">
        <v>142.9</v>
      </c>
      <c r="Q2">
        <v>68000</v>
      </c>
    </row>
    <row r="3" spans="1:17">
      <c r="A3" s="4" t="s">
        <v>12</v>
      </c>
      <c r="B3">
        <v>250</v>
      </c>
      <c r="C3">
        <v>0.82</v>
      </c>
      <c r="D3">
        <f t="shared" ref="D3:D14" si="0">C3-0.04</f>
        <v>0.77999999999999992</v>
      </c>
      <c r="E3">
        <f t="shared" ref="E3:E14" si="1">D3*574</f>
        <v>447.71999999999997</v>
      </c>
      <c r="F3">
        <v>300</v>
      </c>
      <c r="G3">
        <v>0.57359000000000004</v>
      </c>
      <c r="H3" s="1">
        <v>1619.3</v>
      </c>
      <c r="I3" s="1">
        <v>12.83</v>
      </c>
      <c r="J3" s="1">
        <v>73861</v>
      </c>
      <c r="K3" s="1">
        <v>0.9294</v>
      </c>
      <c r="L3" s="1">
        <v>235</v>
      </c>
      <c r="M3" s="1">
        <v>220</v>
      </c>
      <c r="N3" s="1">
        <v>220</v>
      </c>
      <c r="O3">
        <v>220</v>
      </c>
      <c r="P3" s="1">
        <v>150.69999999999999</v>
      </c>
      <c r="Q3">
        <v>83000</v>
      </c>
    </row>
    <row r="4" spans="1:17">
      <c r="A4" s="4" t="s">
        <v>13</v>
      </c>
      <c r="B4">
        <v>250</v>
      </c>
      <c r="C4">
        <v>0.86</v>
      </c>
      <c r="D4">
        <f t="shared" si="0"/>
        <v>0.82</v>
      </c>
      <c r="E4">
        <f t="shared" si="1"/>
        <v>470.67999999999995</v>
      </c>
      <c r="F4">
        <v>330</v>
      </c>
      <c r="G4">
        <v>0.59426000000000001</v>
      </c>
      <c r="H4" s="1">
        <v>825.84</v>
      </c>
      <c r="I4" s="1">
        <v>25.896999999999998</v>
      </c>
      <c r="J4" s="1">
        <v>79790</v>
      </c>
      <c r="K4" s="1">
        <v>0.95421999999999996</v>
      </c>
      <c r="L4" s="1">
        <v>235</v>
      </c>
      <c r="M4" s="1">
        <v>220</v>
      </c>
      <c r="N4" s="1">
        <v>220</v>
      </c>
      <c r="O4">
        <v>220</v>
      </c>
      <c r="P4" s="1">
        <v>146.80000000000001</v>
      </c>
      <c r="Q4">
        <v>190000</v>
      </c>
    </row>
    <row r="5" spans="1:17">
      <c r="A5" s="4" t="s">
        <v>14</v>
      </c>
      <c r="B5">
        <v>250</v>
      </c>
      <c r="C5">
        <v>0.86</v>
      </c>
      <c r="D5">
        <f t="shared" si="0"/>
        <v>0.82</v>
      </c>
      <c r="E5">
        <f t="shared" si="1"/>
        <v>470.67999999999995</v>
      </c>
      <c r="F5">
        <v>330</v>
      </c>
      <c r="G5">
        <v>0.61502999999999997</v>
      </c>
      <c r="H5" s="1">
        <v>919.03</v>
      </c>
      <c r="I5" s="1">
        <v>21.033000000000001</v>
      </c>
      <c r="J5" s="1">
        <v>112230</v>
      </c>
      <c r="K5" s="1">
        <v>0.93654999999999999</v>
      </c>
      <c r="L5" s="1">
        <v>235</v>
      </c>
      <c r="M5" s="1">
        <v>220</v>
      </c>
      <c r="N5" s="1">
        <v>220</v>
      </c>
      <c r="O5">
        <v>220</v>
      </c>
      <c r="P5" s="1">
        <v>143.19999999999999</v>
      </c>
      <c r="Q5">
        <v>174000</v>
      </c>
    </row>
    <row r="6" spans="1:17">
      <c r="A6" s="4" t="s">
        <v>15</v>
      </c>
      <c r="B6">
        <v>250</v>
      </c>
      <c r="C6">
        <v>0.89</v>
      </c>
      <c r="D6">
        <f t="shared" si="0"/>
        <v>0.85</v>
      </c>
      <c r="E6">
        <f t="shared" si="1"/>
        <v>487.9</v>
      </c>
      <c r="F6">
        <v>320</v>
      </c>
      <c r="G6">
        <v>0.48874000000000001</v>
      </c>
      <c r="H6" s="1">
        <v>950.05</v>
      </c>
      <c r="I6" s="1">
        <v>19.693000000000001</v>
      </c>
      <c r="J6" s="1">
        <v>-1289000</v>
      </c>
      <c r="K6" s="1">
        <v>0.94274000000000002</v>
      </c>
      <c r="L6" s="1">
        <v>235</v>
      </c>
      <c r="M6" s="1">
        <v>220</v>
      </c>
      <c r="N6" s="1">
        <v>220</v>
      </c>
      <c r="O6">
        <v>220</v>
      </c>
      <c r="P6" s="1">
        <v>160.99</v>
      </c>
      <c r="Q6">
        <v>235000</v>
      </c>
    </row>
    <row r="7" spans="1:17">
      <c r="A7" s="4" t="s">
        <v>16</v>
      </c>
      <c r="B7">
        <v>250</v>
      </c>
      <c r="C7">
        <v>0.82</v>
      </c>
      <c r="D7">
        <f t="shared" si="0"/>
        <v>0.77999999999999992</v>
      </c>
      <c r="E7">
        <f t="shared" si="1"/>
        <v>447.71999999999997</v>
      </c>
      <c r="F7">
        <v>300</v>
      </c>
      <c r="G7">
        <v>0.54449000000000003</v>
      </c>
      <c r="H7" s="1">
        <v>871.82</v>
      </c>
      <c r="I7" s="1">
        <v>10.545999999999999</v>
      </c>
      <c r="J7" s="1">
        <v>88671</v>
      </c>
      <c r="K7" s="1">
        <v>0.96533000000000002</v>
      </c>
      <c r="L7" s="1">
        <v>235</v>
      </c>
      <c r="M7">
        <v>220</v>
      </c>
      <c r="N7">
        <v>220</v>
      </c>
      <c r="O7">
        <v>220</v>
      </c>
      <c r="P7" s="1">
        <v>173.6</v>
      </c>
      <c r="Q7">
        <v>69006</v>
      </c>
    </row>
    <row r="8" spans="1:17">
      <c r="A8" s="4" t="s">
        <v>17</v>
      </c>
      <c r="B8">
        <v>250</v>
      </c>
      <c r="C8">
        <v>0.82</v>
      </c>
      <c r="D8">
        <f t="shared" si="0"/>
        <v>0.77999999999999992</v>
      </c>
      <c r="E8">
        <f t="shared" si="1"/>
        <v>447.71999999999997</v>
      </c>
      <c r="F8">
        <v>280</v>
      </c>
      <c r="G8">
        <v>0.70057000000000003</v>
      </c>
      <c r="H8" s="1">
        <v>1068.0999999999999</v>
      </c>
      <c r="I8" s="1">
        <v>14.19</v>
      </c>
      <c r="J8" s="1">
        <v>65932</v>
      </c>
      <c r="K8" s="1">
        <v>0.92957999999999996</v>
      </c>
      <c r="L8" s="1">
        <v>235</v>
      </c>
      <c r="M8">
        <v>220</v>
      </c>
      <c r="N8">
        <v>220</v>
      </c>
      <c r="O8">
        <v>220</v>
      </c>
      <c r="P8" s="1">
        <v>168.1</v>
      </c>
      <c r="Q8">
        <v>65300</v>
      </c>
    </row>
    <row r="9" spans="1:17">
      <c r="A9" s="4" t="s">
        <v>18</v>
      </c>
      <c r="B9">
        <v>250</v>
      </c>
      <c r="C9">
        <v>0.86</v>
      </c>
      <c r="D9">
        <f t="shared" si="0"/>
        <v>0.82</v>
      </c>
      <c r="E9">
        <f t="shared" si="1"/>
        <v>470.67999999999995</v>
      </c>
      <c r="F9">
        <v>310</v>
      </c>
      <c r="G9">
        <v>0.74219999999999997</v>
      </c>
      <c r="H9" s="1">
        <v>2060.5</v>
      </c>
      <c r="I9" s="1">
        <v>15.901999999999999</v>
      </c>
      <c r="J9" s="1">
        <v>145380</v>
      </c>
      <c r="K9" s="1">
        <v>0.90047999999999995</v>
      </c>
      <c r="L9" s="1">
        <v>235</v>
      </c>
      <c r="M9" s="1">
        <v>220</v>
      </c>
      <c r="N9" s="1">
        <v>220</v>
      </c>
      <c r="O9">
        <v>220</v>
      </c>
      <c r="P9" s="1">
        <v>172.9</v>
      </c>
      <c r="Q9">
        <v>154590</v>
      </c>
    </row>
    <row r="10" spans="1:17">
      <c r="A10" s="4" t="s">
        <v>19</v>
      </c>
      <c r="B10">
        <v>250</v>
      </c>
      <c r="C10">
        <v>0.89</v>
      </c>
      <c r="D10">
        <f t="shared" si="0"/>
        <v>0.85</v>
      </c>
      <c r="E10">
        <f t="shared" si="1"/>
        <v>487.9</v>
      </c>
      <c r="F10">
        <v>310</v>
      </c>
      <c r="G10">
        <v>0.49159999999999998</v>
      </c>
      <c r="H10" s="1">
        <v>487.93</v>
      </c>
      <c r="I10" s="1">
        <v>26.872</v>
      </c>
      <c r="J10" s="1">
        <v>89777</v>
      </c>
      <c r="K10" s="1">
        <v>0.88658000000000003</v>
      </c>
      <c r="L10" s="1">
        <v>235</v>
      </c>
      <c r="M10" s="1">
        <v>220</v>
      </c>
      <c r="N10" s="1">
        <v>220</v>
      </c>
      <c r="O10">
        <v>220</v>
      </c>
      <c r="P10" s="1">
        <v>171.9</v>
      </c>
      <c r="Q10" s="1">
        <v>237600</v>
      </c>
    </row>
    <row r="11" spans="1:17">
      <c r="A11" s="4" t="s">
        <v>20</v>
      </c>
      <c r="B11">
        <v>250</v>
      </c>
      <c r="C11">
        <v>0.89</v>
      </c>
      <c r="D11">
        <f t="shared" si="0"/>
        <v>0.85</v>
      </c>
      <c r="E11">
        <f t="shared" si="1"/>
        <v>487.9</v>
      </c>
      <c r="F11">
        <v>310</v>
      </c>
      <c r="G11">
        <v>0.54124000000000005</v>
      </c>
      <c r="H11" s="1">
        <v>858.42</v>
      </c>
      <c r="I11" s="1">
        <v>34.6</v>
      </c>
      <c r="J11" s="1">
        <v>62907</v>
      </c>
      <c r="K11" s="1">
        <v>0.86812</v>
      </c>
      <c r="L11" s="1">
        <v>235</v>
      </c>
      <c r="M11" s="1">
        <v>220</v>
      </c>
      <c r="N11" s="1">
        <v>220</v>
      </c>
      <c r="O11">
        <v>220</v>
      </c>
      <c r="P11" s="1">
        <v>174.4</v>
      </c>
      <c r="Q11">
        <v>290300</v>
      </c>
    </row>
    <row r="12" spans="1:17">
      <c r="A12" s="4" t="s">
        <v>21</v>
      </c>
      <c r="B12">
        <v>250</v>
      </c>
      <c r="C12">
        <v>0.9</v>
      </c>
      <c r="D12">
        <f t="shared" si="0"/>
        <v>0.86</v>
      </c>
      <c r="E12">
        <f t="shared" si="1"/>
        <v>493.64</v>
      </c>
      <c r="F12">
        <v>310</v>
      </c>
      <c r="G12">
        <v>0.54198000000000002</v>
      </c>
      <c r="H12" s="1">
        <v>1151.9000000000001</v>
      </c>
      <c r="I12" s="1">
        <v>17.954999999999998</v>
      </c>
      <c r="J12" s="1">
        <v>67337</v>
      </c>
      <c r="K12" s="1">
        <v>0.89710000000000001</v>
      </c>
      <c r="L12" s="1">
        <v>235</v>
      </c>
      <c r="M12">
        <v>220</v>
      </c>
      <c r="N12">
        <v>220</v>
      </c>
      <c r="O12">
        <v>220</v>
      </c>
      <c r="P12" s="1">
        <v>160.19999999999999</v>
      </c>
      <c r="Q12">
        <v>189110</v>
      </c>
    </row>
    <row r="13" spans="1:17">
      <c r="A13" t="s">
        <v>22</v>
      </c>
      <c r="B13">
        <v>250</v>
      </c>
      <c r="C13">
        <v>0.9</v>
      </c>
      <c r="D13">
        <f t="shared" si="0"/>
        <v>0.86</v>
      </c>
      <c r="E13">
        <f t="shared" si="1"/>
        <v>493.64</v>
      </c>
      <c r="F13">
        <v>310</v>
      </c>
      <c r="G13">
        <v>0.54659999999999997</v>
      </c>
      <c r="H13" s="1">
        <v>1198.0999999999999</v>
      </c>
      <c r="I13" s="1">
        <v>16.774999999999999</v>
      </c>
      <c r="J13" s="1">
        <v>80409</v>
      </c>
      <c r="K13" s="1">
        <v>0.91376999999999997</v>
      </c>
      <c r="L13" s="1">
        <v>235</v>
      </c>
      <c r="M13">
        <v>220</v>
      </c>
      <c r="N13">
        <v>220</v>
      </c>
      <c r="O13">
        <v>220</v>
      </c>
      <c r="P13" s="1">
        <v>159.19999999999999</v>
      </c>
      <c r="Q13">
        <v>201690</v>
      </c>
    </row>
    <row r="14" spans="1:17">
      <c r="A14" t="s">
        <v>23</v>
      </c>
      <c r="B14">
        <v>250</v>
      </c>
      <c r="C14">
        <v>0.82</v>
      </c>
      <c r="D14">
        <f t="shared" si="0"/>
        <v>0.77999999999999992</v>
      </c>
      <c r="E14">
        <f t="shared" si="1"/>
        <v>447.71999999999997</v>
      </c>
      <c r="F14">
        <v>300</v>
      </c>
      <c r="G14">
        <v>0.69399999999999995</v>
      </c>
      <c r="H14" s="1">
        <v>1023.2</v>
      </c>
      <c r="I14" s="1">
        <v>11.510999999999999</v>
      </c>
      <c r="J14" s="1">
        <v>86095</v>
      </c>
      <c r="K14" s="1">
        <v>0.99502999999999997</v>
      </c>
      <c r="L14" s="1">
        <v>235</v>
      </c>
      <c r="M14">
        <v>220</v>
      </c>
      <c r="N14">
        <v>220</v>
      </c>
      <c r="O14">
        <v>220</v>
      </c>
      <c r="P14" s="1">
        <v>137.69999999999999</v>
      </c>
      <c r="Q14">
        <v>43000</v>
      </c>
    </row>
    <row r="16" spans="1:17">
      <c r="L16" t="s">
        <v>30</v>
      </c>
      <c r="P16" t="s">
        <v>31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D9B4C-2B7C-4829-8AC3-37C8F43EBF36}">
  <dimension ref="E1:J14"/>
  <sheetViews>
    <sheetView workbookViewId="0"/>
  </sheetViews>
  <sheetFormatPr defaultRowHeight="16.5"/>
  <sheetData>
    <row r="1" spans="5:10"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</row>
    <row r="2" spans="5:10">
      <c r="E2" s="3">
        <v>235</v>
      </c>
      <c r="F2" s="3">
        <v>220</v>
      </c>
      <c r="G2" s="3">
        <v>220</v>
      </c>
      <c r="H2" s="2">
        <v>220</v>
      </c>
      <c r="I2" s="2">
        <v>142.9</v>
      </c>
      <c r="J2" s="2">
        <v>68000</v>
      </c>
    </row>
    <row r="3" spans="5:10">
      <c r="E3" s="3">
        <v>235</v>
      </c>
      <c r="F3" s="3">
        <v>220</v>
      </c>
      <c r="G3" s="3">
        <v>220</v>
      </c>
      <c r="H3" s="2">
        <v>220</v>
      </c>
      <c r="I3" s="3">
        <v>150.69999999999999</v>
      </c>
      <c r="J3" s="2">
        <v>83000</v>
      </c>
    </row>
    <row r="4" spans="5:10">
      <c r="E4" s="3">
        <v>235</v>
      </c>
      <c r="F4" s="3">
        <v>220</v>
      </c>
      <c r="G4" s="3">
        <v>220</v>
      </c>
      <c r="H4" s="2">
        <v>220</v>
      </c>
      <c r="I4" s="3">
        <v>146.80000000000001</v>
      </c>
      <c r="J4" s="2">
        <v>190000</v>
      </c>
    </row>
    <row r="5" spans="5:10">
      <c r="E5" s="3">
        <v>235</v>
      </c>
      <c r="F5" s="3">
        <v>220</v>
      </c>
      <c r="G5" s="3">
        <v>220</v>
      </c>
      <c r="H5" s="2">
        <v>220</v>
      </c>
      <c r="I5" s="3">
        <v>143.19999999999999</v>
      </c>
      <c r="J5" s="2">
        <v>174000</v>
      </c>
    </row>
    <row r="6" spans="5:10">
      <c r="E6" s="3">
        <v>235</v>
      </c>
      <c r="F6" s="3">
        <v>220</v>
      </c>
      <c r="G6" s="3">
        <v>220</v>
      </c>
      <c r="H6" s="2">
        <v>220</v>
      </c>
      <c r="I6" s="3">
        <v>160.99</v>
      </c>
      <c r="J6" s="2">
        <v>235000</v>
      </c>
    </row>
    <row r="7" spans="5:10">
      <c r="E7" s="3">
        <v>235</v>
      </c>
      <c r="F7" s="2">
        <v>220</v>
      </c>
      <c r="G7" s="2">
        <v>220</v>
      </c>
      <c r="H7" s="2">
        <v>220</v>
      </c>
      <c r="I7" s="3">
        <v>173.6</v>
      </c>
      <c r="J7" s="2">
        <v>69006</v>
      </c>
    </row>
    <row r="8" spans="5:10">
      <c r="E8" s="3">
        <v>235</v>
      </c>
      <c r="F8" s="2">
        <v>220</v>
      </c>
      <c r="G8" s="2">
        <v>220</v>
      </c>
      <c r="H8" s="2">
        <v>220</v>
      </c>
      <c r="I8" s="3">
        <v>168.1</v>
      </c>
      <c r="J8" s="2">
        <v>65300</v>
      </c>
    </row>
    <row r="9" spans="5:10">
      <c r="E9" s="3">
        <v>235</v>
      </c>
      <c r="F9" s="3">
        <v>220</v>
      </c>
      <c r="G9" s="3">
        <v>220</v>
      </c>
      <c r="H9" s="2">
        <v>220</v>
      </c>
      <c r="I9" s="3">
        <v>172.9</v>
      </c>
      <c r="J9" s="2">
        <v>154590</v>
      </c>
    </row>
    <row r="10" spans="5:10">
      <c r="E10" s="3">
        <v>235</v>
      </c>
      <c r="F10" s="3">
        <v>220</v>
      </c>
      <c r="G10" s="3">
        <v>220</v>
      </c>
      <c r="H10" s="2">
        <v>220</v>
      </c>
      <c r="I10" s="3">
        <v>171.9</v>
      </c>
      <c r="J10" s="3">
        <v>237600</v>
      </c>
    </row>
    <row r="11" spans="5:10">
      <c r="E11" s="3">
        <v>235</v>
      </c>
      <c r="F11" s="3">
        <v>220</v>
      </c>
      <c r="G11" s="3">
        <v>220</v>
      </c>
      <c r="H11" s="2">
        <v>220</v>
      </c>
      <c r="I11" s="3">
        <v>174.4</v>
      </c>
      <c r="J11" s="2">
        <v>290300</v>
      </c>
    </row>
    <row r="12" spans="5:10">
      <c r="E12" s="3">
        <v>235</v>
      </c>
      <c r="F12" s="2">
        <v>220</v>
      </c>
      <c r="G12" s="2">
        <v>220</v>
      </c>
      <c r="H12" s="2">
        <v>220</v>
      </c>
      <c r="I12" s="3">
        <v>160.19999999999999</v>
      </c>
      <c r="J12" s="2">
        <v>189110</v>
      </c>
    </row>
    <row r="13" spans="5:10">
      <c r="E13" s="3">
        <v>235</v>
      </c>
      <c r="F13" s="2">
        <v>220</v>
      </c>
      <c r="G13" s="2">
        <v>220</v>
      </c>
      <c r="H13" s="2">
        <v>220</v>
      </c>
      <c r="I13" s="3">
        <v>159.19999999999999</v>
      </c>
      <c r="J13" s="2">
        <v>201690</v>
      </c>
    </row>
    <row r="14" spans="5:10">
      <c r="E14" s="3">
        <v>235</v>
      </c>
      <c r="F14" s="2">
        <v>220</v>
      </c>
      <c r="G14" s="2">
        <v>220</v>
      </c>
      <c r="H14" s="2">
        <v>220</v>
      </c>
      <c r="I14" s="3">
        <v>137.69999999999999</v>
      </c>
      <c r="J14" s="2">
        <v>43000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Wonwoo Choi</dc:creator>
  <cp:lastModifiedBy>Wonwoo Choi</cp:lastModifiedBy>
  <dcterms:created xsi:type="dcterms:W3CDTF">2025-07-08T05:45:49Z</dcterms:created>
  <dcterms:modified xsi:type="dcterms:W3CDTF">2025-07-16T08:40:08Z</dcterms:modified>
</cp:coreProperties>
</file>